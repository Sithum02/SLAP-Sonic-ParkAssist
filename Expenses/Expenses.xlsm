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:\Git Repositories\SLAP Innovators - Car Parking Kit\Expenses\"/>
    </mc:Choice>
  </mc:AlternateContent>
  <xr:revisionPtr revIDLastSave="0" documentId="13_ncr:1_{31D454D5-7CF6-47F9-8094-2641FB29D8A6}" xr6:coauthVersionLast="47" xr6:coauthVersionMax="47" xr10:uidLastSave="{00000000-0000-0000-0000-000000000000}"/>
  <bookViews>
    <workbookView xWindow="-108" yWindow="-108" windowWidth="23256" windowHeight="12456" xr2:uid="{ABC11B66-28B7-4693-BE54-665DA5D9D33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/>
  <c r="I6" i="1"/>
  <c r="I7" i="1"/>
  <c r="I4" i="1"/>
  <c r="E25" i="1"/>
  <c r="E23" i="1"/>
</calcChain>
</file>

<file path=xl/sharedStrings.xml><?xml version="1.0" encoding="utf-8"?>
<sst xmlns="http://schemas.openxmlformats.org/spreadsheetml/2006/main" count="52" uniqueCount="31">
  <si>
    <t>Name</t>
  </si>
  <si>
    <t>Item</t>
  </si>
  <si>
    <t>Cost/Unit</t>
  </si>
  <si>
    <t>Amount</t>
  </si>
  <si>
    <t>Price</t>
  </si>
  <si>
    <t>Pravindu</t>
  </si>
  <si>
    <t>JSN-SR04T</t>
  </si>
  <si>
    <t>Parking Kit https://www.daraz.lk/products/04-led-parking-sensor-i972138-s2928750.html?spm=a2a0e.searchlist.sku.2.73f163a3KqLNMK&amp;search=1</t>
  </si>
  <si>
    <t>ATMEGA328p - duino.lk</t>
  </si>
  <si>
    <t>JSN SR04Thttps://www.daraz.lk/products/ultrasonic-sensor-waterproof-jsn-sr04t-arduino-i175847552-s1134882298.html?spm=a2a0e.searchlist.sku.9.73c1464eRXZK6a&amp;search=1</t>
  </si>
  <si>
    <t>JSN SR04T Senith</t>
  </si>
  <si>
    <t>Amoda</t>
  </si>
  <si>
    <t>Components - eTusker</t>
  </si>
  <si>
    <t>Connectors - https://www.daraz.lk/products/10sets-jst-xh254-xh-254mm-wire-cable-connector-2345678910-pin-pitch-male-female-plug-socket-20cm-wire-length-26awg-i198445089.html</t>
  </si>
  <si>
    <t>Components - Pitakotuwa</t>
  </si>
  <si>
    <t>Components - pitakotuwa</t>
  </si>
  <si>
    <t>ATMEGA328p - https://tronic.lk/product/atmel-atmega328p-pu-microcontroller-with-uno-boot-loade</t>
  </si>
  <si>
    <t>4 pin connectors -https://tronic.lk/product/long-4-way-pcb-mount-wire-clip-with-socket-xh-4px-300mm</t>
  </si>
  <si>
    <t>PCBs</t>
  </si>
  <si>
    <t>PCB shipping</t>
  </si>
  <si>
    <t>Connectors - https://www.aliexpress.com/item/32817036250.html?spm=a2g0o.order_list.order_list_main.10.21ef18026FRL2P</t>
  </si>
  <si>
    <t>2 pin connectors</t>
  </si>
  <si>
    <t>Lahiru</t>
  </si>
  <si>
    <t>Enclosure</t>
  </si>
  <si>
    <t>Wires</t>
  </si>
  <si>
    <t>TOTAL</t>
  </si>
  <si>
    <t>Amount per person</t>
  </si>
  <si>
    <t>Member</t>
  </si>
  <si>
    <t>Amount Spent</t>
  </si>
  <si>
    <t>Amount Due</t>
  </si>
  <si>
    <t>Sithum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</si>
</sst>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A7D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</cellStyleXfs>
  <cellXfs count="14">
    <xf numFmtId="0" fontId="0" fillId="0" borderId="0" xfId="0"/>
    <xf numFmtId="0" fontId="2" fillId="2" borderId="1" xfId="1"/>
    <xf numFmtId="0" fontId="1" fillId="3" borderId="3" xfId="2" applyBorder="1" applyAlignment="1">
      <alignment horizontal="center" wrapText="1"/>
    </xf>
    <xf numFmtId="0" fontId="1" fillId="3" borderId="4" xfId="2" applyBorder="1" applyAlignment="1">
      <alignment horizontal="center"/>
    </xf>
    <xf numFmtId="0" fontId="1" fillId="3" borderId="4" xfId="2" applyBorder="1" applyAlignment="1">
      <alignment horizontal="center" wrapText="1"/>
    </xf>
    <xf numFmtId="0" fontId="1" fillId="3" borderId="5" xfId="2" applyBorder="1" applyAlignment="1">
      <alignment wrapText="1"/>
    </xf>
    <xf numFmtId="0" fontId="1" fillId="3" borderId="6" xfId="2" applyBorder="1" applyAlignment="1"/>
    <xf numFmtId="0" fontId="1" fillId="3" borderId="6" xfId="2" applyBorder="1" applyAlignment="1">
      <alignment horizontal="right" wrapText="1"/>
    </xf>
    <xf numFmtId="0" fontId="1" fillId="3" borderId="6" xfId="2" applyBorder="1" applyAlignment="1">
      <alignment wrapText="1"/>
    </xf>
    <xf numFmtId="0" fontId="1" fillId="3" borderId="2" xfId="2" applyBorder="1" applyAlignment="1">
      <alignment wrapText="1"/>
    </xf>
    <xf numFmtId="0" fontId="1" fillId="3" borderId="2" xfId="2" applyBorder="1" applyAlignment="1"/>
    <xf numFmtId="0" fontId="1" fillId="3" borderId="2" xfId="2" applyBorder="1" applyAlignment="1">
      <alignment horizontal="right" wrapText="1"/>
    </xf>
    <xf numFmtId="0" fontId="1" fillId="4" borderId="7" xfId="3" applyBorder="1"/>
    <xf numFmtId="0" fontId="2" fillId="2" borderId="1" xfId="1" applyAlignment="1">
      <alignment horizontal="center"/>
    </xf>
  </cellXfs>
  <cellStyles count="4">
    <cellStyle name="20% - Accent1" xfId="2" builtinId="30"/>
    <cellStyle name="20% - Accent3" xfId="3" builtinId="38"/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daraz.lk/products/10sets-jst-xh254-xh-254mm-wire-cable-connector-2345678910-pin-pitch-male-female-plug-socket-20cm-wire-length-26awg-i198445089.html" TargetMode="External"/><Relationship Id="rId2" Type="http://schemas.openxmlformats.org/officeDocument/2006/relationships/hyperlink" Target="http://duino.lk/" TargetMode="External"/><Relationship Id="rId1" Type="http://schemas.openxmlformats.org/officeDocument/2006/relationships/hyperlink" Target="https://www.daraz.lk/products/04-led-parking-sensor-i972138-s2928750.html?spm=a2a0e.searchlist.sku.2.73f163a3KqLNMK&amp;search=1" TargetMode="External"/><Relationship Id="rId5" Type="http://schemas.openxmlformats.org/officeDocument/2006/relationships/hyperlink" Target="https://www.aliexpress.com/item/32817036250.html?spm=a2g0o.order_list.order_list_main.10.21ef18026FRL2P" TargetMode="External"/><Relationship Id="rId4" Type="http://schemas.openxmlformats.org/officeDocument/2006/relationships/hyperlink" Target="https://tronic.lk/product/atmel-atmega328p-pu-microcontroller-with-uno-boot-loa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F75EA-3669-495E-B217-F3CB267524FB}">
  <sheetPr codeName="Sheet1"/>
  <dimension ref="A1:I25"/>
  <sheetViews>
    <sheetView tabSelected="1" workbookViewId="0">
      <selection activeCell="G11" sqref="G11"/>
    </sheetView>
  </sheetViews>
  <sheetFormatPr defaultRowHeight="14.4" x14ac:dyDescent="0.3"/>
  <cols>
    <col min="2" max="2" width="73.6640625" customWidth="1"/>
    <col min="3" max="3" width="15.21875" customWidth="1"/>
    <col min="4" max="5" width="8.88671875" customWidth="1"/>
    <col min="8" max="8" width="12.6640625" bestFit="1" customWidth="1"/>
    <col min="9" max="9" width="11" bestFit="1" customWidth="1"/>
  </cols>
  <sheetData>
    <row r="1" spans="1:9" ht="15" thickBot="1" x14ac:dyDescent="0.35">
      <c r="A1" s="2" t="s">
        <v>0</v>
      </c>
      <c r="B1" s="3" t="s">
        <v>1</v>
      </c>
      <c r="C1" s="4" t="s">
        <v>2</v>
      </c>
      <c r="D1" s="4" t="s">
        <v>3</v>
      </c>
      <c r="E1" s="4" t="s">
        <v>4</v>
      </c>
    </row>
    <row r="2" spans="1:9" ht="15" thickBot="1" x14ac:dyDescent="0.35">
      <c r="A2" s="5" t="s">
        <v>5</v>
      </c>
      <c r="B2" s="6" t="s">
        <v>6</v>
      </c>
      <c r="C2" s="7">
        <v>1500</v>
      </c>
      <c r="D2" s="7">
        <v>1</v>
      </c>
      <c r="E2" s="7">
        <v>1500</v>
      </c>
    </row>
    <row r="3" spans="1:9" ht="15" thickBot="1" x14ac:dyDescent="0.35">
      <c r="A3" s="5" t="s">
        <v>5</v>
      </c>
      <c r="B3" s="6" t="s">
        <v>7</v>
      </c>
      <c r="C3" s="7">
        <v>2735</v>
      </c>
      <c r="D3" s="7">
        <v>1</v>
      </c>
      <c r="E3" s="7">
        <v>2735</v>
      </c>
      <c r="G3" s="12" t="s">
        <v>27</v>
      </c>
      <c r="H3" s="12" t="s">
        <v>28</v>
      </c>
      <c r="I3" s="12" t="s">
        <v>29</v>
      </c>
    </row>
    <row r="4" spans="1:9" ht="15" thickBot="1" x14ac:dyDescent="0.35">
      <c r="A4" s="5" t="s">
        <v>5</v>
      </c>
      <c r="B4" s="6" t="s">
        <v>8</v>
      </c>
      <c r="C4" s="7">
        <v>1870</v>
      </c>
      <c r="D4" s="7">
        <v>1</v>
      </c>
      <c r="E4" s="7">
        <v>1870</v>
      </c>
      <c r="G4" s="12" t="s">
        <v>5</v>
      </c>
      <c r="H4" s="12">
        <v>36316.81</v>
      </c>
      <c r="I4" s="12">
        <f>$E$25-H4</f>
        <v>-22548.094999999998</v>
      </c>
    </row>
    <row r="5" spans="1:9" ht="15" thickBot="1" x14ac:dyDescent="0.35">
      <c r="A5" s="5" t="s">
        <v>5</v>
      </c>
      <c r="B5" s="6" t="s">
        <v>9</v>
      </c>
      <c r="C5" s="7">
        <v>8636.81</v>
      </c>
      <c r="D5" s="7">
        <v>1</v>
      </c>
      <c r="E5" s="7">
        <v>8636.81</v>
      </c>
      <c r="G5" s="12" t="s">
        <v>11</v>
      </c>
      <c r="H5" s="12">
        <v>14608.050000000001</v>
      </c>
      <c r="I5" s="12">
        <f t="shared" ref="I5:I7" si="0">$E$25-H5</f>
        <v>-839.33500000000095</v>
      </c>
    </row>
    <row r="6" spans="1:9" ht="15" thickBot="1" x14ac:dyDescent="0.35">
      <c r="A6" s="5" t="s">
        <v>5</v>
      </c>
      <c r="B6" s="6" t="s">
        <v>10</v>
      </c>
      <c r="C6" s="7">
        <v>1750</v>
      </c>
      <c r="D6" s="7">
        <v>10</v>
      </c>
      <c r="E6" s="7">
        <v>17500</v>
      </c>
      <c r="G6" s="12" t="s">
        <v>22</v>
      </c>
      <c r="H6" s="12">
        <v>4150</v>
      </c>
      <c r="I6" s="12">
        <f t="shared" si="0"/>
        <v>9618.7150000000001</v>
      </c>
    </row>
    <row r="7" spans="1:9" ht="15" thickBot="1" x14ac:dyDescent="0.35">
      <c r="A7" s="5" t="s">
        <v>11</v>
      </c>
      <c r="B7" s="6" t="s">
        <v>12</v>
      </c>
      <c r="C7" s="7">
        <v>570</v>
      </c>
      <c r="D7" s="7">
        <v>1</v>
      </c>
      <c r="E7" s="7">
        <v>570</v>
      </c>
      <c r="G7" s="12" t="s">
        <v>30</v>
      </c>
      <c r="H7" s="12">
        <v>0</v>
      </c>
      <c r="I7" s="12">
        <f t="shared" si="0"/>
        <v>13768.715</v>
      </c>
    </row>
    <row r="8" spans="1:9" ht="15" thickBot="1" x14ac:dyDescent="0.35">
      <c r="A8" s="5" t="s">
        <v>11</v>
      </c>
      <c r="B8" s="6" t="s">
        <v>13</v>
      </c>
      <c r="C8" s="7">
        <v>712</v>
      </c>
      <c r="D8" s="7">
        <v>2</v>
      </c>
      <c r="E8" s="7">
        <v>1424</v>
      </c>
    </row>
    <row r="9" spans="1:9" ht="15" thickBot="1" x14ac:dyDescent="0.35">
      <c r="A9" s="5" t="s">
        <v>11</v>
      </c>
      <c r="B9" s="6" t="s">
        <v>14</v>
      </c>
      <c r="C9" s="7">
        <v>90</v>
      </c>
      <c r="D9" s="7">
        <v>1</v>
      </c>
      <c r="E9" s="7">
        <v>90</v>
      </c>
    </row>
    <row r="10" spans="1:9" ht="15" thickBot="1" x14ac:dyDescent="0.35">
      <c r="A10" s="5" t="s">
        <v>5</v>
      </c>
      <c r="B10" s="6" t="s">
        <v>15</v>
      </c>
      <c r="C10" s="7">
        <v>265</v>
      </c>
      <c r="D10" s="7">
        <v>1</v>
      </c>
      <c r="E10" s="7">
        <v>265</v>
      </c>
    </row>
    <row r="11" spans="1:9" ht="15" thickBot="1" x14ac:dyDescent="0.35">
      <c r="A11" s="5" t="s">
        <v>5</v>
      </c>
      <c r="B11" s="6" t="s">
        <v>16</v>
      </c>
      <c r="C11" s="7">
        <v>900</v>
      </c>
      <c r="D11" s="7">
        <v>3</v>
      </c>
      <c r="E11" s="7">
        <v>2700</v>
      </c>
    </row>
    <row r="12" spans="1:9" ht="15" thickBot="1" x14ac:dyDescent="0.35">
      <c r="A12" s="5" t="s">
        <v>5</v>
      </c>
      <c r="B12" s="6" t="s">
        <v>17</v>
      </c>
      <c r="C12" s="7">
        <v>30</v>
      </c>
      <c r="D12" s="7">
        <v>8</v>
      </c>
      <c r="E12" s="7">
        <v>240</v>
      </c>
    </row>
    <row r="13" spans="1:9" ht="15" thickBot="1" x14ac:dyDescent="0.35">
      <c r="A13" s="5" t="s">
        <v>11</v>
      </c>
      <c r="B13" s="6" t="s">
        <v>18</v>
      </c>
      <c r="C13" s="7">
        <v>605</v>
      </c>
      <c r="D13" s="7">
        <v>5</v>
      </c>
      <c r="E13" s="7">
        <v>3025</v>
      </c>
    </row>
    <row r="14" spans="1:9" ht="15" thickBot="1" x14ac:dyDescent="0.35">
      <c r="A14" s="5" t="s">
        <v>11</v>
      </c>
      <c r="B14" s="6" t="s">
        <v>19</v>
      </c>
      <c r="C14" s="7">
        <v>460</v>
      </c>
      <c r="D14" s="7">
        <v>5</v>
      </c>
      <c r="E14" s="7">
        <v>2300</v>
      </c>
    </row>
    <row r="15" spans="1:9" ht="15" thickBot="1" x14ac:dyDescent="0.35">
      <c r="A15" s="5" t="s">
        <v>11</v>
      </c>
      <c r="B15" s="6" t="s">
        <v>18</v>
      </c>
      <c r="C15" s="7">
        <v>393.41</v>
      </c>
      <c r="D15" s="7">
        <v>5</v>
      </c>
      <c r="E15" s="7">
        <v>1967.04</v>
      </c>
    </row>
    <row r="16" spans="1:9" ht="15" thickBot="1" x14ac:dyDescent="0.35">
      <c r="A16" s="5" t="s">
        <v>11</v>
      </c>
      <c r="B16" s="6" t="s">
        <v>19</v>
      </c>
      <c r="C16" s="7">
        <v>915.72</v>
      </c>
      <c r="D16" s="7">
        <v>5</v>
      </c>
      <c r="E16" s="7">
        <v>4578.6000000000004</v>
      </c>
    </row>
    <row r="17" spans="1:5" ht="15" thickBot="1" x14ac:dyDescent="0.35">
      <c r="A17" s="5" t="s">
        <v>11</v>
      </c>
      <c r="B17" s="6" t="s">
        <v>20</v>
      </c>
      <c r="C17" s="7">
        <v>6.07</v>
      </c>
      <c r="D17" s="7">
        <v>50</v>
      </c>
      <c r="E17" s="7">
        <v>303.41000000000003</v>
      </c>
    </row>
    <row r="18" spans="1:5" ht="15" thickBot="1" x14ac:dyDescent="0.35">
      <c r="A18" s="5" t="s">
        <v>11</v>
      </c>
      <c r="B18" s="6" t="s">
        <v>21</v>
      </c>
      <c r="C18" s="7">
        <v>35</v>
      </c>
      <c r="D18" s="7">
        <v>10</v>
      </c>
      <c r="E18" s="7">
        <v>350</v>
      </c>
    </row>
    <row r="19" spans="1:5" ht="15" thickBot="1" x14ac:dyDescent="0.35">
      <c r="A19" s="5" t="s">
        <v>22</v>
      </c>
      <c r="B19" s="6" t="s">
        <v>23</v>
      </c>
      <c r="C19" s="7">
        <v>4150</v>
      </c>
      <c r="D19" s="7">
        <v>1</v>
      </c>
      <c r="E19" s="7">
        <v>4150</v>
      </c>
    </row>
    <row r="20" spans="1:5" ht="15" thickBot="1" x14ac:dyDescent="0.35">
      <c r="A20" s="5" t="s">
        <v>5</v>
      </c>
      <c r="B20" s="6" t="s">
        <v>24</v>
      </c>
      <c r="C20" s="7">
        <v>870</v>
      </c>
      <c r="D20" s="7">
        <v>1</v>
      </c>
      <c r="E20" s="7">
        <v>870</v>
      </c>
    </row>
    <row r="21" spans="1:5" ht="15" thickBot="1" x14ac:dyDescent="0.35">
      <c r="A21" s="5"/>
      <c r="B21" s="6"/>
      <c r="C21" s="8"/>
      <c r="D21" s="8"/>
      <c r="E21" s="7">
        <v>0</v>
      </c>
    </row>
    <row r="22" spans="1:5" ht="15" thickBot="1" x14ac:dyDescent="0.35">
      <c r="A22" s="5"/>
      <c r="B22" s="6"/>
      <c r="C22" s="8"/>
      <c r="D22" s="8"/>
      <c r="E22" s="7">
        <v>0</v>
      </c>
    </row>
    <row r="23" spans="1:5" ht="15" thickBot="1" x14ac:dyDescent="0.35">
      <c r="A23" s="9" t="s">
        <v>25</v>
      </c>
      <c r="B23" s="10"/>
      <c r="C23" s="9"/>
      <c r="D23" s="9"/>
      <c r="E23" s="11">
        <f>SUM(E2:E22)</f>
        <v>55074.86</v>
      </c>
    </row>
    <row r="24" spans="1:5" ht="15" thickTop="1" x14ac:dyDescent="0.3"/>
    <row r="25" spans="1:5" x14ac:dyDescent="0.3">
      <c r="A25" s="13" t="s">
        <v>26</v>
      </c>
      <c r="B25" s="13"/>
      <c r="C25" s="1"/>
      <c r="D25" s="1"/>
      <c r="E25" s="1">
        <f>E23/4</f>
        <v>13768.715</v>
      </c>
    </row>
  </sheetData>
  <mergeCells count="1">
    <mergeCell ref="A25:B25"/>
  </mergeCells>
  <hyperlinks>
    <hyperlink ref="B3" r:id="rId1" display="https://www.daraz.lk/products/04-led-parking-sensor-i972138-s2928750.html?spm=a2a0e.searchlist.sku.2.73f163a3KqLNMK&amp;search=1" xr:uid="{5CA43027-A57E-476F-B098-7B856C871258}"/>
    <hyperlink ref="B4" r:id="rId2" display="http://duino.lk/" xr:uid="{7CEDF81A-F061-42DD-9E17-E2D5A6163B0E}"/>
    <hyperlink ref="B8" r:id="rId3" display="https://www.daraz.lk/products/10sets-jst-xh254-xh-254mm-wire-cable-connector-2345678910-pin-pitch-male-female-plug-socket-20cm-wire-length-26awg-i198445089.html" xr:uid="{854F29F9-BF45-48E8-BEA1-C11586DB444C}"/>
    <hyperlink ref="B11" r:id="rId4" display="https://tronic.lk/product/atmel-atmega328p-pu-microcontroller-with-uno-boot-loade" xr:uid="{D3E383D1-12E3-4E6F-96B3-BBDE314D7103}"/>
    <hyperlink ref="B17" r:id="rId5" display="https://www.aliexpress.com/item/32817036250.html?spm=a2g0o.order_list.order_list_main.10.21ef18026FRL2P" xr:uid="{14958BEA-C2FC-44BC-B69F-0CB15E467F4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Pravindu Goonetilleke</dc:creator>
  <cp:lastModifiedBy>Pravindu Goonetilleke</cp:lastModifiedBy>
  <dcterms:created xsi:type="dcterms:W3CDTF">2024-09-17T11:51:48Z</dcterms:created>
  <dcterms:modified xsi:type="dcterms:W3CDTF">2024-09-17T12:15:19Z</dcterms:modified>
</cp:coreProperties>
</file>